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heme/themeOverride1.xml" ContentType="application/vnd.openxmlformats-officedocument.themeOverrid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heme/themeOverride2.xml" ContentType="application/vnd.openxmlformats-officedocument.themeOverrid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ch\Documents\tfm_hipocotile_simulations\"/>
    </mc:Choice>
  </mc:AlternateContent>
  <xr:revisionPtr revIDLastSave="0" documentId="8_{71377E32-9783-494D-BAB8-6355EEC28590}" xr6:coauthVersionLast="47" xr6:coauthVersionMax="47" xr10:uidLastSave="{00000000-0000-0000-0000-000000000000}"/>
  <bookViews>
    <workbookView xWindow="-120" yWindow="-120" windowWidth="20730" windowHeight="11160" tabRatio="526" xr2:uid="{E5962E1E-D3A9-4B61-AC08-60F578A3CC71}"/>
  </bookViews>
  <sheets>
    <sheet name="Fig2B" sheetId="4" r:id="rId1"/>
    <sheet name="Fig3B" sheetId="1" r:id="rId2"/>
    <sheet name="Fig7D" sheetId="2" r:id="rId3"/>
  </sheets>
  <externalReferences>
    <externalReference r:id="rId4"/>
    <externalReference r:id="rId5"/>
    <externalReference r:id="rId6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73" i="2" l="1"/>
  <c r="G76" i="2" s="1"/>
  <c r="F73" i="2"/>
  <c r="F76" i="2" s="1"/>
  <c r="E73" i="2"/>
  <c r="E76" i="2" s="1"/>
  <c r="C73" i="2"/>
  <c r="C76" i="2" s="1"/>
  <c r="B73" i="2"/>
  <c r="B76" i="2" s="1"/>
  <c r="A73" i="2"/>
  <c r="A76" i="2" s="1"/>
  <c r="G72" i="2"/>
  <c r="G75" i="2" s="1"/>
  <c r="F72" i="2"/>
  <c r="F75" i="2" s="1"/>
  <c r="E72" i="2"/>
  <c r="E75" i="2" s="1"/>
  <c r="C72" i="2"/>
  <c r="C75" i="2" s="1"/>
  <c r="B72" i="2"/>
  <c r="B75" i="2" s="1"/>
  <c r="A72" i="2"/>
  <c r="A75" i="2" s="1"/>
</calcChain>
</file>

<file path=xl/sharedStrings.xml><?xml version="1.0" encoding="utf-8"?>
<sst xmlns="http://schemas.openxmlformats.org/spreadsheetml/2006/main" count="44" uniqueCount="27">
  <si>
    <t>Col</t>
  </si>
  <si>
    <t>pifq</t>
  </si>
  <si>
    <t>cop1-4</t>
  </si>
  <si>
    <t>det1-1</t>
  </si>
  <si>
    <t>hy5</t>
  </si>
  <si>
    <t>Col0</t>
  </si>
  <si>
    <t>media metanol</t>
  </si>
  <si>
    <t>media ABA</t>
  </si>
  <si>
    <t>desv metanol</t>
  </si>
  <si>
    <t>desv ABA</t>
  </si>
  <si>
    <t>average</t>
  </si>
  <si>
    <t>SD</t>
  </si>
  <si>
    <t xml:space="preserve">average </t>
  </si>
  <si>
    <t>Col-0</t>
  </si>
  <si>
    <t>phyA</t>
  </si>
  <si>
    <t>phyB</t>
  </si>
  <si>
    <t>cry1</t>
  </si>
  <si>
    <t>cry2</t>
  </si>
  <si>
    <t>cry1cry2</t>
  </si>
  <si>
    <t>En mm</t>
  </si>
  <si>
    <t>Ws</t>
  </si>
  <si>
    <t>hy5 hyh</t>
  </si>
  <si>
    <t>mock</t>
  </si>
  <si>
    <t>ABA</t>
  </si>
  <si>
    <t>PIF4-HA</t>
  </si>
  <si>
    <t>PP2C.D2M331K</t>
  </si>
  <si>
    <t>PP2CD2M331K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</si>
</sst>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3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512060992375954"/>
          <c:y val="5.8644113390308478E-2"/>
          <c:w val="0.7792220972378453"/>
          <c:h val="0.82035669474211881"/>
        </c:manualLayout>
      </c:layout>
      <c:barChart>
        <c:barDir val="col"/>
        <c:grouping val="clustered"/>
        <c:varyColors val="0"/>
        <c:ser>
          <c:idx val="0"/>
          <c:order val="0"/>
          <c:tx>
            <c:v>mock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4C69-442A-8E30-EE2210351CDC}"/>
              </c:ext>
            </c:extLst>
          </c:dPt>
          <c:errBars>
            <c:errBarType val="both"/>
            <c:errValType val="cust"/>
            <c:noEndCap val="0"/>
            <c:plus>
              <c:numRef>
                <c:f>('[1]07-07-16'!$B$51:$D$51,'[1]07-07-16'!$F$51)</c:f>
                <c:numCache>
                  <c:formatCode>General</c:formatCode>
                  <c:ptCount val="4"/>
                  <c:pt idx="0">
                    <c:v>0.38898367913265841</c:v>
                  </c:pt>
                  <c:pt idx="1">
                    <c:v>0.29605072101206698</c:v>
                  </c:pt>
                  <c:pt idx="2">
                    <c:v>0.33255171343005185</c:v>
                  </c:pt>
                  <c:pt idx="3">
                    <c:v>1.2986615741641561</c:v>
                  </c:pt>
                </c:numCache>
              </c:numRef>
            </c:plus>
            <c:minus>
              <c:numRef>
                <c:f>('[1]07-07-16'!$B$51:$D$51,'[1]07-07-16'!$F$51)</c:f>
                <c:numCache>
                  <c:formatCode>General</c:formatCode>
                  <c:ptCount val="4"/>
                  <c:pt idx="0">
                    <c:v>0.38898367913265841</c:v>
                  </c:pt>
                  <c:pt idx="1">
                    <c:v>0.29605072101206698</c:v>
                  </c:pt>
                  <c:pt idx="2">
                    <c:v>0.33255171343005185</c:v>
                  </c:pt>
                  <c:pt idx="3">
                    <c:v>1.2986615741641561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('[1]07-07-16'!$B$46:$D$46,'[1]07-07-16'!$F$46)</c:f>
              <c:strCache>
                <c:ptCount val="4"/>
                <c:pt idx="0">
                  <c:v>Col</c:v>
                </c:pt>
                <c:pt idx="1">
                  <c:v>pifq</c:v>
                </c:pt>
                <c:pt idx="2">
                  <c:v>cop1-4</c:v>
                </c:pt>
                <c:pt idx="3">
                  <c:v>hy5</c:v>
                </c:pt>
              </c:strCache>
            </c:strRef>
          </c:cat>
          <c:val>
            <c:numRef>
              <c:f>('[1]07-07-16'!$B$47:$D$47,'[1]07-07-16'!$F$47)</c:f>
              <c:numCache>
                <c:formatCode>General</c:formatCode>
                <c:ptCount val="4"/>
                <c:pt idx="0">
                  <c:v>3.2032500000000002</c:v>
                </c:pt>
                <c:pt idx="1">
                  <c:v>1.8891666666666667</c:v>
                </c:pt>
                <c:pt idx="2">
                  <c:v>2.2366999999999999</c:v>
                </c:pt>
                <c:pt idx="3">
                  <c:v>9.1349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C69-442A-8E30-EE2210351CDC}"/>
            </c:ext>
          </c:extLst>
        </c:ser>
        <c:ser>
          <c:idx val="1"/>
          <c:order val="1"/>
          <c:tx>
            <c:strRef>
              <c:f>'[1]07-07-16'!$K$51</c:f>
              <c:strCache>
                <c:ptCount val="1"/>
                <c:pt idx="0">
                  <c:v>10 µM ABA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('[1]07-07-16'!$B$52:$D$52,'[1]07-07-16'!$F$52)</c:f>
                <c:numCache>
                  <c:formatCode>General</c:formatCode>
                  <c:ptCount val="4"/>
                  <c:pt idx="0">
                    <c:v>0.27732532039706276</c:v>
                  </c:pt>
                  <c:pt idx="1">
                    <c:v>0.23930454794396791</c:v>
                  </c:pt>
                  <c:pt idx="2">
                    <c:v>0.21137227148836293</c:v>
                  </c:pt>
                  <c:pt idx="3">
                    <c:v>0.54269145008927533</c:v>
                  </c:pt>
                </c:numCache>
              </c:numRef>
            </c:plus>
            <c:minus>
              <c:numRef>
                <c:f>('[1]07-07-16'!$B$52:$D$52,'[1]07-07-16'!$F$52)</c:f>
                <c:numCache>
                  <c:formatCode>General</c:formatCode>
                  <c:ptCount val="4"/>
                  <c:pt idx="0">
                    <c:v>0.27732532039706276</c:v>
                  </c:pt>
                  <c:pt idx="1">
                    <c:v>0.23930454794396791</c:v>
                  </c:pt>
                  <c:pt idx="2">
                    <c:v>0.21137227148836293</c:v>
                  </c:pt>
                  <c:pt idx="3">
                    <c:v>0.54269145008927533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('[1]07-07-16'!$B$46:$D$46,'[1]07-07-16'!$F$46)</c:f>
              <c:strCache>
                <c:ptCount val="4"/>
                <c:pt idx="0">
                  <c:v>Col</c:v>
                </c:pt>
                <c:pt idx="1">
                  <c:v>pifq</c:v>
                </c:pt>
                <c:pt idx="2">
                  <c:v>cop1-4</c:v>
                </c:pt>
                <c:pt idx="3">
                  <c:v>hy5</c:v>
                </c:pt>
              </c:strCache>
            </c:strRef>
          </c:cat>
          <c:val>
            <c:numRef>
              <c:f>('[1]07-07-16'!$B$48:$D$48,'[1]07-07-16'!$F$48)</c:f>
              <c:numCache>
                <c:formatCode>General</c:formatCode>
                <c:ptCount val="4"/>
                <c:pt idx="0">
                  <c:v>1.6917777777777778</c:v>
                </c:pt>
                <c:pt idx="1">
                  <c:v>1.5376666666666667</c:v>
                </c:pt>
                <c:pt idx="2">
                  <c:v>1.6806521739130436</c:v>
                </c:pt>
                <c:pt idx="3">
                  <c:v>3.3685200000000002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C69-442A-8E30-EE2210351C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7"/>
        <c:axId val="506912720"/>
        <c:axId val="506912304"/>
      </c:barChart>
      <c:catAx>
        <c:axId val="5069127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506912304"/>
        <c:crosses val="autoZero"/>
        <c:auto val="1"/>
        <c:lblAlgn val="ctr"/>
        <c:lblOffset val="100"/>
        <c:noMultiLvlLbl val="0"/>
      </c:catAx>
      <c:valAx>
        <c:axId val="50691230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0" i="0" u="none" strike="noStrike" kern="1200" baseline="0">
                    <a:solidFill>
                      <a:sysClr val="windowText" lastClr="000000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s-ES"/>
                  <a:t>hypocotyl lenght (mm)</a:t>
                </a:r>
              </a:p>
            </c:rich>
          </c:tx>
          <c:layout>
            <c:manualLayout>
              <c:xMode val="edge"/>
              <c:yMode val="edge"/>
              <c:x val="1.3888974327427819E-2"/>
              <c:y val="0.193869344313612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0" i="0" u="none" strike="noStrike" kern="1200" baseline="0">
                  <a:solidFill>
                    <a:sysClr val="windowText" lastClr="000000"/>
                  </a:solidFill>
                  <a:latin typeface="Arial" panose="020B0604020202020204" pitchFamily="34" charset="0"/>
                  <a:ea typeface="+mn-ea"/>
                  <a:cs typeface="Arial" panose="020B0604020202020204" pitchFamily="34" charset="0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06912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7502819471784781"/>
          <c:y val="6.2460770385353206E-2"/>
          <c:w val="0.54772103487064117"/>
          <c:h val="0.1034904052538723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887043907413706"/>
          <c:y val="0.10648148148148148"/>
          <c:w val="0.81279629483829496"/>
          <c:h val="0.7263768133095190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'[2]oscuridad aba'!$I$116</c:f>
              <c:strCache>
                <c:ptCount val="1"/>
                <c:pt idx="0">
                  <c:v>mock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'[2]oscuridad aba'!$C$119:$G$119</c:f>
                <c:numCache>
                  <c:formatCode>General</c:formatCode>
                  <c:ptCount val="5"/>
                  <c:pt idx="0">
                    <c:v>1.0586766503517493</c:v>
                  </c:pt>
                  <c:pt idx="1">
                    <c:v>0.62267516328689321</c:v>
                  </c:pt>
                  <c:pt idx="2">
                    <c:v>1.1491425374724245</c:v>
                  </c:pt>
                  <c:pt idx="3">
                    <c:v>0.62500133333191488</c:v>
                  </c:pt>
                  <c:pt idx="4">
                    <c:v>1.0055247386315267</c:v>
                  </c:pt>
                </c:numCache>
              </c:numRef>
            </c:plus>
            <c:minus>
              <c:numRef>
                <c:f>'[2]oscuridad aba'!$C$119:$G$119</c:f>
                <c:numCache>
                  <c:formatCode>General</c:formatCode>
                  <c:ptCount val="5"/>
                  <c:pt idx="0">
                    <c:v>1.0586766503517493</c:v>
                  </c:pt>
                  <c:pt idx="1">
                    <c:v>0.62267516328689321</c:v>
                  </c:pt>
                  <c:pt idx="2">
                    <c:v>1.1491425374724245</c:v>
                  </c:pt>
                  <c:pt idx="3">
                    <c:v>0.62500133333191488</c:v>
                  </c:pt>
                  <c:pt idx="4">
                    <c:v>1.0055247386315267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'[2]oscuridad aba'!$C$115:$G$115</c:f>
              <c:strCache>
                <c:ptCount val="5"/>
                <c:pt idx="0">
                  <c:v>Col0</c:v>
                </c:pt>
                <c:pt idx="1">
                  <c:v>pifq</c:v>
                </c:pt>
                <c:pt idx="2">
                  <c:v>cop1-4</c:v>
                </c:pt>
                <c:pt idx="3">
                  <c:v>det1-1</c:v>
                </c:pt>
                <c:pt idx="4">
                  <c:v>hy5</c:v>
                </c:pt>
              </c:strCache>
            </c:strRef>
          </c:cat>
          <c:val>
            <c:numRef>
              <c:f>'[2]oscuridad aba'!$C$116:$G$116</c:f>
              <c:numCache>
                <c:formatCode>General</c:formatCode>
                <c:ptCount val="5"/>
                <c:pt idx="0">
                  <c:v>13.296875</c:v>
                </c:pt>
                <c:pt idx="1">
                  <c:v>8.1192307692307715</c:v>
                </c:pt>
                <c:pt idx="2">
                  <c:v>5.3742857142857146</c:v>
                </c:pt>
                <c:pt idx="3">
                  <c:v>5.4133333333333331</c:v>
                </c:pt>
                <c:pt idx="4">
                  <c:v>13.09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C9-4F12-AC59-13BB0BC828F0}"/>
            </c:ext>
          </c:extLst>
        </c:ser>
        <c:ser>
          <c:idx val="1"/>
          <c:order val="1"/>
          <c:tx>
            <c:strRef>
              <c:f>'[2]oscuridad aba'!$I$117</c:f>
              <c:strCache>
                <c:ptCount val="1"/>
                <c:pt idx="0">
                  <c:v>10 µM ABA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'[2]oscuridad aba'!$C$120:$G$120</c:f>
                <c:numCache>
                  <c:formatCode>General</c:formatCode>
                  <c:ptCount val="5"/>
                  <c:pt idx="0">
                    <c:v>1.0432742888761639</c:v>
                  </c:pt>
                  <c:pt idx="1">
                    <c:v>0.8207400841400968</c:v>
                  </c:pt>
                  <c:pt idx="2">
                    <c:v>0.43768057497938156</c:v>
                  </c:pt>
                  <c:pt idx="3">
                    <c:v>0.34547069340249403</c:v>
                  </c:pt>
                  <c:pt idx="4">
                    <c:v>1.7370080890569695</c:v>
                  </c:pt>
                </c:numCache>
              </c:numRef>
            </c:plus>
            <c:minus>
              <c:numRef>
                <c:f>'[2]oscuridad aba'!$C$120:$G$120</c:f>
                <c:numCache>
                  <c:formatCode>General</c:formatCode>
                  <c:ptCount val="5"/>
                  <c:pt idx="0">
                    <c:v>1.0432742888761639</c:v>
                  </c:pt>
                  <c:pt idx="1">
                    <c:v>0.8207400841400968</c:v>
                  </c:pt>
                  <c:pt idx="2">
                    <c:v>0.43768057497938156</c:v>
                  </c:pt>
                  <c:pt idx="3">
                    <c:v>0.34547069340249403</c:v>
                  </c:pt>
                  <c:pt idx="4">
                    <c:v>1.7370080890569695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'[2]oscuridad aba'!$C$115:$G$115</c:f>
              <c:strCache>
                <c:ptCount val="5"/>
                <c:pt idx="0">
                  <c:v>Col0</c:v>
                </c:pt>
                <c:pt idx="1">
                  <c:v>pifq</c:v>
                </c:pt>
                <c:pt idx="2">
                  <c:v>cop1-4</c:v>
                </c:pt>
                <c:pt idx="3">
                  <c:v>det1-1</c:v>
                </c:pt>
                <c:pt idx="4">
                  <c:v>hy5</c:v>
                </c:pt>
              </c:strCache>
            </c:strRef>
          </c:cat>
          <c:val>
            <c:numRef>
              <c:f>'[2]oscuridad aba'!$C$117:$G$117</c:f>
              <c:numCache>
                <c:formatCode>General</c:formatCode>
                <c:ptCount val="5"/>
                <c:pt idx="0">
                  <c:v>13.142777777777779</c:v>
                </c:pt>
                <c:pt idx="1">
                  <c:v>4.8885714285714279</c:v>
                </c:pt>
                <c:pt idx="2">
                  <c:v>3.1775000000000002</c:v>
                </c:pt>
                <c:pt idx="3">
                  <c:v>3.3099999999999996</c:v>
                </c:pt>
                <c:pt idx="4">
                  <c:v>13.171666666666663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5C9-4F12-AC59-13BB0BC828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20700336"/>
        <c:axId val="599557232"/>
      </c:barChart>
      <c:catAx>
        <c:axId val="19207003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599557232"/>
        <c:crosses val="autoZero"/>
        <c:auto val="1"/>
        <c:lblAlgn val="ctr"/>
        <c:lblOffset val="100"/>
        <c:noMultiLvlLbl val="0"/>
      </c:catAx>
      <c:valAx>
        <c:axId val="599557232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>
                    <a:solidFill>
                      <a:sysClr val="windowText" lastClr="000000"/>
                    </a:solidFill>
                  </a:rPr>
                  <a:t>hypocotyl lenght (mm)</a:t>
                </a:r>
              </a:p>
            </c:rich>
          </c:tx>
          <c:layout>
            <c:manualLayout>
              <c:xMode val="edge"/>
              <c:yMode val="edge"/>
              <c:x val="1.3880834542484894E-2"/>
              <c:y val="0.2540576967247342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s-ES"/>
          </a:p>
        </c:txPr>
        <c:crossAx val="19207003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64596675415573057"/>
          <c:y val="7.4652230971128594E-2"/>
          <c:w val="0.26917760279965003"/>
          <c:h val="8.02939698784279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low light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'[1]07-07-16'!$H$47</c:f>
              <c:strCache>
                <c:ptCount val="1"/>
                <c:pt idx="0">
                  <c:v>control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'[1]07-07-16'!$B$51:$F$51</c:f>
                <c:numCache>
                  <c:formatCode>General</c:formatCode>
                  <c:ptCount val="5"/>
                  <c:pt idx="0">
                    <c:v>0.38898367913265841</c:v>
                  </c:pt>
                  <c:pt idx="1">
                    <c:v>0.29605072101206698</c:v>
                  </c:pt>
                  <c:pt idx="2">
                    <c:v>0.33255171343005185</c:v>
                  </c:pt>
                  <c:pt idx="3">
                    <c:v>0.413324391527501</c:v>
                  </c:pt>
                  <c:pt idx="4">
                    <c:v>1.2986615741641561</c:v>
                  </c:pt>
                </c:numCache>
              </c:numRef>
            </c:plus>
            <c:minus>
              <c:numRef>
                <c:f>'[1]07-07-16'!$B$51:$F$51</c:f>
                <c:numCache>
                  <c:formatCode>General</c:formatCode>
                  <c:ptCount val="5"/>
                  <c:pt idx="0">
                    <c:v>0.38898367913265841</c:v>
                  </c:pt>
                  <c:pt idx="1">
                    <c:v>0.29605072101206698</c:v>
                  </c:pt>
                  <c:pt idx="2">
                    <c:v>0.33255171343005185</c:v>
                  </c:pt>
                  <c:pt idx="3">
                    <c:v>0.413324391527501</c:v>
                  </c:pt>
                  <c:pt idx="4">
                    <c:v>1.2986615741641561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'[1]07-07-16'!$B$46:$F$46</c:f>
              <c:strCache>
                <c:ptCount val="5"/>
                <c:pt idx="0">
                  <c:v>Col</c:v>
                </c:pt>
                <c:pt idx="1">
                  <c:v>pifq</c:v>
                </c:pt>
                <c:pt idx="2">
                  <c:v>cop1-4</c:v>
                </c:pt>
                <c:pt idx="3">
                  <c:v>det1-1</c:v>
                </c:pt>
                <c:pt idx="4">
                  <c:v>hy5</c:v>
                </c:pt>
              </c:strCache>
            </c:strRef>
          </c:cat>
          <c:val>
            <c:numRef>
              <c:f>'[1]07-07-16'!$B$47:$F$47</c:f>
              <c:numCache>
                <c:formatCode>General</c:formatCode>
                <c:ptCount val="5"/>
                <c:pt idx="0">
                  <c:v>3.2032500000000002</c:v>
                </c:pt>
                <c:pt idx="1">
                  <c:v>1.8891666666666667</c:v>
                </c:pt>
                <c:pt idx="2">
                  <c:v>2.2366999999999999</c:v>
                </c:pt>
                <c:pt idx="3">
                  <c:v>3.24</c:v>
                </c:pt>
                <c:pt idx="4">
                  <c:v>9.1349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B9C-447A-9247-F83C5D05E91B}"/>
            </c:ext>
          </c:extLst>
        </c:ser>
        <c:ser>
          <c:idx val="1"/>
          <c:order val="1"/>
          <c:tx>
            <c:strRef>
              <c:f>'[1]07-07-16'!$H$48</c:f>
              <c:strCache>
                <c:ptCount val="1"/>
                <c:pt idx="0">
                  <c:v>40 uM ABA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'[1]07-07-16'!$B$52:$F$52</c:f>
                <c:numCache>
                  <c:formatCode>General</c:formatCode>
                  <c:ptCount val="5"/>
                  <c:pt idx="0">
                    <c:v>0.27732532039706276</c:v>
                  </c:pt>
                  <c:pt idx="1">
                    <c:v>0.23930454794396791</c:v>
                  </c:pt>
                  <c:pt idx="2">
                    <c:v>0.21137227148836293</c:v>
                  </c:pt>
                  <c:pt idx="3">
                    <c:v>0.25144088754125893</c:v>
                  </c:pt>
                  <c:pt idx="4">
                    <c:v>0.54269145008927533</c:v>
                  </c:pt>
                </c:numCache>
              </c:numRef>
            </c:plus>
            <c:minus>
              <c:numRef>
                <c:f>'[1]07-07-16'!$B$52:$F$52</c:f>
                <c:numCache>
                  <c:formatCode>General</c:formatCode>
                  <c:ptCount val="5"/>
                  <c:pt idx="0">
                    <c:v>0.27732532039706276</c:v>
                  </c:pt>
                  <c:pt idx="1">
                    <c:v>0.23930454794396791</c:v>
                  </c:pt>
                  <c:pt idx="2">
                    <c:v>0.21137227148836293</c:v>
                  </c:pt>
                  <c:pt idx="3">
                    <c:v>0.25144088754125893</c:v>
                  </c:pt>
                  <c:pt idx="4">
                    <c:v>0.54269145008927533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'[1]07-07-16'!$B$46:$F$46</c:f>
              <c:strCache>
                <c:ptCount val="5"/>
                <c:pt idx="0">
                  <c:v>Col</c:v>
                </c:pt>
                <c:pt idx="1">
                  <c:v>pifq</c:v>
                </c:pt>
                <c:pt idx="2">
                  <c:v>cop1-4</c:v>
                </c:pt>
                <c:pt idx="3">
                  <c:v>det1-1</c:v>
                </c:pt>
                <c:pt idx="4">
                  <c:v>hy5</c:v>
                </c:pt>
              </c:strCache>
            </c:strRef>
          </c:cat>
          <c:val>
            <c:numRef>
              <c:f>'[1]07-07-16'!$B$48:$F$48</c:f>
              <c:numCache>
                <c:formatCode>General</c:formatCode>
                <c:ptCount val="5"/>
                <c:pt idx="0">
                  <c:v>1.6917777777777778</c:v>
                </c:pt>
                <c:pt idx="1">
                  <c:v>1.5376666666666667</c:v>
                </c:pt>
                <c:pt idx="2">
                  <c:v>1.6806521739130436</c:v>
                </c:pt>
                <c:pt idx="3">
                  <c:v>1.9682083333333333</c:v>
                </c:pt>
                <c:pt idx="4">
                  <c:v>3.3685200000000002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B9C-447A-9247-F83C5D05E9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1436848"/>
        <c:axId val="1381433104"/>
      </c:barChart>
      <c:catAx>
        <c:axId val="13814368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81433104"/>
        <c:crosses val="autoZero"/>
        <c:auto val="1"/>
        <c:lblAlgn val="ctr"/>
        <c:lblOffset val="100"/>
        <c:noMultiLvlLbl val="0"/>
      </c:catAx>
      <c:valAx>
        <c:axId val="138143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hypocotyl lenght (mm)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6073272090988625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13814368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layoutTarget val="inner"/>
          <c:xMode val="edge"/>
          <c:yMode val="edge"/>
          <c:x val="0.16911948098859861"/>
          <c:y val="5.0808314087759814E-2"/>
          <c:w val="0.7903546128772394"/>
          <c:h val="0.83788109226135055"/>
        </c:manualLayout>
      </c:layout>
      <c:barChart>
        <c:barDir val="col"/>
        <c:grouping val="clustered"/>
        <c:varyColors val="0"/>
        <c:ser>
          <c:idx val="0"/>
          <c:order val="0"/>
          <c:tx>
            <c:v>mock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[3]PP2CDM331!$A$76:$C$76</c:f>
                <c:numCache>
                  <c:formatCode>General</c:formatCode>
                  <c:ptCount val="3"/>
                  <c:pt idx="0">
                    <c:v>1.1246260863658708</c:v>
                  </c:pt>
                  <c:pt idx="1">
                    <c:v>0.64837543448611545</c:v>
                  </c:pt>
                  <c:pt idx="2">
                    <c:v>0.46178923408987288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[3]PP2CDM331!$A$4:$C$4</c:f>
              <c:strCache>
                <c:ptCount val="3"/>
                <c:pt idx="0">
                  <c:v>Col</c:v>
                </c:pt>
                <c:pt idx="1">
                  <c:v>pifq</c:v>
                </c:pt>
                <c:pt idx="2">
                  <c:v>PP2C.D2M331K</c:v>
                </c:pt>
              </c:strCache>
            </c:strRef>
          </c:cat>
          <c:val>
            <c:numRef>
              <c:f>[3]PP2CDM331!$A$75:$C$75</c:f>
              <c:numCache>
                <c:formatCode>General</c:formatCode>
                <c:ptCount val="3"/>
                <c:pt idx="0">
                  <c:v>12.678615384615386</c:v>
                </c:pt>
                <c:pt idx="1">
                  <c:v>7.76968253968254</c:v>
                </c:pt>
                <c:pt idx="2">
                  <c:v>4.7812622950819668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B-4941-BE9F-E5BEDC8FA731}"/>
            </c:ext>
          </c:extLst>
        </c:ser>
        <c:ser>
          <c:idx val="1"/>
          <c:order val="1"/>
          <c:tx>
            <c:v>ABA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errBars>
            <c:errBarType val="both"/>
            <c:errValType val="cust"/>
            <c:noEndCap val="0"/>
            <c:plus>
              <c:numRef>
                <c:f>[3]PP2CDM331!$E$76:$G$76</c:f>
                <c:numCache>
                  <c:formatCode>General</c:formatCode>
                  <c:ptCount val="3"/>
                  <c:pt idx="0">
                    <c:v>0.86502036802792948</c:v>
                  </c:pt>
                  <c:pt idx="1">
                    <c:v>0.57059679455520296</c:v>
                  </c:pt>
                  <c:pt idx="2">
                    <c:v>0.59667935812315209</c:v>
                  </c:pt>
                </c:numCache>
              </c:numRef>
            </c:plus>
            <c:minus>
              <c:numRef>
                <c:f>[3]PP2CDM331!$E$76:$G$76</c:f>
                <c:numCache>
                  <c:formatCode>General</c:formatCode>
                  <c:ptCount val="3"/>
                  <c:pt idx="0">
                    <c:v>0.86502036802792948</c:v>
                  </c:pt>
                  <c:pt idx="1">
                    <c:v>0.57059679455520296</c:v>
                  </c:pt>
                  <c:pt idx="2">
                    <c:v>0.59667935812315209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[3]PP2CDM331!$A$4:$C$4</c:f>
              <c:strCache>
                <c:ptCount val="3"/>
                <c:pt idx="0">
                  <c:v>Col</c:v>
                </c:pt>
                <c:pt idx="1">
                  <c:v>pifq</c:v>
                </c:pt>
                <c:pt idx="2">
                  <c:v>PP2C.D2M331K</c:v>
                </c:pt>
              </c:strCache>
            </c:strRef>
          </c:cat>
          <c:val>
            <c:numRef>
              <c:f>[3]PP2CDM331!$E$75:$G$75</c:f>
              <c:numCache>
                <c:formatCode>General</c:formatCode>
                <c:ptCount val="3"/>
                <c:pt idx="0">
                  <c:v>13.144781249999999</c:v>
                </c:pt>
                <c:pt idx="1">
                  <c:v>5.3264259259259257</c:v>
                </c:pt>
                <c:pt idx="2">
                  <c:v>2.9148205128205129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33B-4941-BE9F-E5BEDC8FA7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3415552"/>
        <c:axId val="909980784"/>
      </c:barChart>
      <c:catAx>
        <c:axId val="9134155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accent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09980784"/>
        <c:crosses val="autoZero"/>
        <c:auto val="1"/>
        <c:lblAlgn val="ctr"/>
        <c:lblOffset val="100"/>
        <c:noMultiLvlLbl val="0"/>
      </c:catAx>
      <c:valAx>
        <c:axId val="909980784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ES"/>
                  <a:t>Hypocotyl lenght  (mm)</a:t>
                </a:r>
              </a:p>
            </c:rich>
          </c:tx>
          <c:layout>
            <c:manualLayout>
              <c:xMode val="edge"/>
              <c:yMode val="edge"/>
              <c:x val="2.860149798348377E-2"/>
              <c:y val="0.2241261297303195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E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accent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S"/>
          </a:p>
        </c:txPr>
        <c:crossAx val="9134155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72596434820647415"/>
          <c:y val="8.1183654126567528E-2"/>
          <c:w val="0.18306058617672791"/>
          <c:h val="7.81255468066491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E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s-E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3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12</xdr:col>
      <xdr:colOff>323850</xdr:colOff>
      <xdr:row>15</xdr:row>
      <xdr:rowOff>21590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B368231-D9B0-41D2-8F42-F2E33C5C6A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109483</xdr:colOff>
      <xdr:row>16</xdr:row>
      <xdr:rowOff>54741</xdr:rowOff>
    </xdr:from>
    <xdr:to>
      <xdr:col>20</xdr:col>
      <xdr:colOff>149882</xdr:colOff>
      <xdr:row>30</xdr:row>
      <xdr:rowOff>84831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9EB1AA67-6F31-493E-9DD5-912B4A0725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229913</xdr:colOff>
      <xdr:row>17</xdr:row>
      <xdr:rowOff>43792</xdr:rowOff>
    </xdr:from>
    <xdr:to>
      <xdr:col>12</xdr:col>
      <xdr:colOff>298950</xdr:colOff>
      <xdr:row>29</xdr:row>
      <xdr:rowOff>21897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06BFD871-A61D-45C4-8DD9-FBEF6393A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594568" y="3207844"/>
          <a:ext cx="3900934" cy="2211553"/>
        </a:xfrm>
        <a:prstGeom prst="rect">
          <a:avLst/>
        </a:prstGeom>
      </xdr:spPr>
    </xdr:pic>
    <xdr:clientData/>
  </xdr:twoCellAnchor>
  <xdr:twoCellAnchor>
    <xdr:from>
      <xdr:col>14</xdr:col>
      <xdr:colOff>65690</xdr:colOff>
      <xdr:row>0</xdr:row>
      <xdr:rowOff>131381</xdr:rowOff>
    </xdr:from>
    <xdr:to>
      <xdr:col>20</xdr:col>
      <xdr:colOff>128314</xdr:colOff>
      <xdr:row>14</xdr:row>
      <xdr:rowOff>117761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3E7D1FCE-BDA7-4D94-A3AD-259AAD3781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3175</xdr:colOff>
      <xdr:row>21</xdr:row>
      <xdr:rowOff>142875</xdr:rowOff>
    </xdr:from>
    <xdr:to>
      <xdr:col>14</xdr:col>
      <xdr:colOff>3175</xdr:colOff>
      <xdr:row>36</xdr:row>
      <xdr:rowOff>123825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0CCB7F79-FDC5-4985-BD5B-E7457F9833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ra/Documents/380/Medidas%20hipocotilos/Hypocotilos%202016b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ra/Documents/380/Medidas%20hipocotilos/Col%20pifq%20DL%20ABA%20GA%20PAclo_II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ndra/Documents/380/Medidas%20hipocotilos/Hipocotilos%20BiTC%20y%20PP2CD2M331%20y%20abi1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9-09-16"/>
      <sheetName val="28-09-16"/>
      <sheetName val="14-09-16"/>
      <sheetName val="13-09-16"/>
      <sheetName val="19-05-16"/>
      <sheetName val="07-07-16"/>
      <sheetName val="18-07-16 "/>
      <sheetName val="09-06-16"/>
      <sheetName val="24-02-16"/>
      <sheetName val="01-03-16"/>
      <sheetName val="08-03-1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46">
          <cell r="B46" t="str">
            <v>Col</v>
          </cell>
          <cell r="C46" t="str">
            <v>pifq</v>
          </cell>
          <cell r="D46" t="str">
            <v>cop1-4</v>
          </cell>
          <cell r="E46" t="str">
            <v>det1-1</v>
          </cell>
          <cell r="F46" t="str">
            <v>hy5</v>
          </cell>
        </row>
        <row r="47">
          <cell r="B47">
            <v>3.2032500000000002</v>
          </cell>
          <cell r="C47">
            <v>1.8891666666666667</v>
          </cell>
          <cell r="D47">
            <v>2.2366999999999999</v>
          </cell>
          <cell r="E47">
            <v>3.24</v>
          </cell>
          <cell r="F47">
            <v>9.1349</v>
          </cell>
          <cell r="H47" t="str">
            <v>control</v>
          </cell>
        </row>
        <row r="48">
          <cell r="B48">
            <v>1.6917777777777778</v>
          </cell>
          <cell r="C48">
            <v>1.5376666666666667</v>
          </cell>
          <cell r="D48">
            <v>1.6806521739130436</v>
          </cell>
          <cell r="E48">
            <v>1.9682083333333333</v>
          </cell>
          <cell r="F48">
            <v>3.3685200000000002</v>
          </cell>
          <cell r="H48" t="str">
            <v>40 uM ABA</v>
          </cell>
        </row>
        <row r="51">
          <cell r="B51">
            <v>0.38898367913265841</v>
          </cell>
          <cell r="C51">
            <v>0.29605072101206698</v>
          </cell>
          <cell r="D51">
            <v>0.33255171343005185</v>
          </cell>
          <cell r="E51">
            <v>0.413324391527501</v>
          </cell>
          <cell r="F51">
            <v>1.2986615741641561</v>
          </cell>
          <cell r="K51" t="str">
            <v>10 µM ABA</v>
          </cell>
        </row>
        <row r="52">
          <cell r="B52">
            <v>0.27732532039706276</v>
          </cell>
          <cell r="C52">
            <v>0.23930454794396791</v>
          </cell>
          <cell r="D52">
            <v>0.21137227148836293</v>
          </cell>
          <cell r="E52">
            <v>0.25144088754125893</v>
          </cell>
          <cell r="F52">
            <v>0.54269145008927533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uz metanol"/>
      <sheetName val="luz aba"/>
      <sheetName val="oscuridad metanol"/>
      <sheetName val="oscuridad aba"/>
      <sheetName val="Hoja1"/>
    </sheetNames>
    <sheetDataSet>
      <sheetData sheetId="0" refreshError="1"/>
      <sheetData sheetId="1" refreshError="1"/>
      <sheetData sheetId="2" refreshError="1"/>
      <sheetData sheetId="3">
        <row r="115">
          <cell r="C115" t="str">
            <v>Col0</v>
          </cell>
          <cell r="D115" t="str">
            <v>pifq</v>
          </cell>
          <cell r="E115" t="str">
            <v>cop1-4</v>
          </cell>
          <cell r="F115" t="str">
            <v>det1-1</v>
          </cell>
          <cell r="G115" t="str">
            <v>hy5</v>
          </cell>
        </row>
        <row r="116">
          <cell r="C116">
            <v>13.296875</v>
          </cell>
          <cell r="D116">
            <v>8.1192307692307715</v>
          </cell>
          <cell r="E116">
            <v>5.3742857142857146</v>
          </cell>
          <cell r="F116">
            <v>5.4133333333333331</v>
          </cell>
          <cell r="G116">
            <v>13.09</v>
          </cell>
          <cell r="I116" t="str">
            <v>mock</v>
          </cell>
        </row>
        <row r="117">
          <cell r="C117">
            <v>13.142777777777779</v>
          </cell>
          <cell r="D117">
            <v>4.8885714285714279</v>
          </cell>
          <cell r="E117">
            <v>3.1775000000000002</v>
          </cell>
          <cell r="F117">
            <v>3.3099999999999996</v>
          </cell>
          <cell r="G117">
            <v>13.171666666666663</v>
          </cell>
          <cell r="I117" t="str">
            <v>10 µM ABA</v>
          </cell>
        </row>
        <row r="119">
          <cell r="C119">
            <v>1.0586766503517493</v>
          </cell>
          <cell r="D119">
            <v>0.62267516328689321</v>
          </cell>
          <cell r="E119">
            <v>1.1491425374724245</v>
          </cell>
          <cell r="F119">
            <v>0.62500133333191488</v>
          </cell>
          <cell r="G119">
            <v>1.0055247386315267</v>
          </cell>
        </row>
        <row r="120">
          <cell r="C120">
            <v>1.0432742888761639</v>
          </cell>
          <cell r="D120">
            <v>0.8207400841400968</v>
          </cell>
          <cell r="E120">
            <v>0.43768057497938156</v>
          </cell>
          <cell r="F120">
            <v>0.34547069340249403</v>
          </cell>
          <cell r="G120">
            <v>1.7370080890569695</v>
          </cell>
        </row>
      </sheetData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i1-1C PP2CM331"/>
      <sheetName val="BiTC"/>
      <sheetName val="Antab"/>
      <sheetName val="BiTC(2)"/>
      <sheetName val="Anta (2)"/>
      <sheetName val="PP2CDM331"/>
      <sheetName val="6pyl abi1-1C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Col</v>
          </cell>
          <cell r="B4" t="str">
            <v>pifq</v>
          </cell>
          <cell r="C4" t="str">
            <v>PP2C.D2M331K</v>
          </cell>
        </row>
        <row r="75">
          <cell r="A75">
            <v>12.678615384615386</v>
          </cell>
          <cell r="B75">
            <v>7.76968253968254</v>
          </cell>
          <cell r="C75">
            <v>4.7812622950819668</v>
          </cell>
          <cell r="E75">
            <v>13.144781249999999</v>
          </cell>
          <cell r="F75">
            <v>5.3264259259259257</v>
          </cell>
          <cell r="G75">
            <v>2.9148205128205129</v>
          </cell>
        </row>
        <row r="76">
          <cell r="A76">
            <v>1.1246260863658708</v>
          </cell>
          <cell r="B76">
            <v>0.64837543448611545</v>
          </cell>
          <cell r="C76">
            <v>0.46178923408987288</v>
          </cell>
          <cell r="E76">
            <v>0.86502036802792948</v>
          </cell>
          <cell r="F76">
            <v>0.57059679455520296</v>
          </cell>
          <cell r="G76">
            <v>0.59667935812315209</v>
          </cell>
        </row>
      </sheetData>
      <sheetData sheetId="6"/>
    </sheetDataSet>
  </externalBook>
</externalLink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1F497D"/>
    </a:dk2>
    <a:lt2>
      <a:srgbClr val="EEECE1"/>
    </a:lt2>
    <a:accent1>
      <a:srgbClr val="4F81BD"/>
    </a:accent1>
    <a:accent2>
      <a:srgbClr val="C0504D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Office">
    <a:majorFont>
      <a:latin typeface="Cambria" panose="020F03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Calibri" panose="020F0502020204030204"/>
      <a:ea typeface=""/>
      <a:cs typeface=""/>
      <a:font script="Jpan" typeface="ＭＳ Ｐゴシック"/>
      <a:font script="Hang" typeface="맑은 고딕"/>
      <a:font script="Hans" typeface="宋体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45F82"/>
    </a:accent1>
    <a:accent2>
      <a:srgbClr val="E87331"/>
    </a:accent2>
    <a:accent3>
      <a:srgbClr val="186C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0F030202020403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036F-B843-4AD5-A8C4-4814CD8DB712}">
  <dimension ref="A2:F26"/>
  <sheetViews>
    <sheetView tabSelected="1" topLeftCell="F1" zoomScale="70" zoomScaleNormal="70" workbookViewId="0">
      <selection activeCell="F30" sqref="F30"/>
    </sheetView>
  </sheetViews>
  <sheetFormatPr baseColWidth="10" defaultRowHeight="15" x14ac:dyDescent="0.25"/>
  <sheetData>
    <row r="2" spans="1:6" x14ac:dyDescent="0.25">
      <c r="B2" t="s">
        <v>0</v>
      </c>
      <c r="C2" t="s">
        <v>1</v>
      </c>
      <c r="D2" t="s">
        <v>2</v>
      </c>
      <c r="E2" t="s">
        <v>3</v>
      </c>
      <c r="F2" t="s">
        <v>4</v>
      </c>
    </row>
    <row r="3" spans="1:6" x14ac:dyDescent="0.25">
      <c r="A3" t="s">
        <v>10</v>
      </c>
      <c r="B3">
        <v>3.2032500000000002</v>
      </c>
      <c r="C3">
        <v>1.8891666666666667</v>
      </c>
      <c r="D3">
        <v>2.2366999999999999</v>
      </c>
      <c r="E3">
        <v>3.24</v>
      </c>
      <c r="F3">
        <v>9.1349</v>
      </c>
    </row>
    <row r="4" spans="1:6" x14ac:dyDescent="0.25">
      <c r="B4">
        <v>1.6917777777777778</v>
      </c>
      <c r="C4">
        <v>1.5376666666666667</v>
      </c>
      <c r="D4">
        <v>1.6806521739130436</v>
      </c>
      <c r="E4">
        <v>1.9682083333333333</v>
      </c>
      <c r="F4">
        <v>3.3685200000000002</v>
      </c>
    </row>
    <row r="7" spans="1:6" x14ac:dyDescent="0.25">
      <c r="A7" t="s">
        <v>11</v>
      </c>
      <c r="B7">
        <v>0.38898367913265841</v>
      </c>
      <c r="C7">
        <v>0.29605072101206698</v>
      </c>
      <c r="D7">
        <v>0.33255171343005185</v>
      </c>
      <c r="E7">
        <v>0.413324391527501</v>
      </c>
      <c r="F7">
        <v>1.2986615741641561</v>
      </c>
    </row>
    <row r="8" spans="1:6" x14ac:dyDescent="0.25">
      <c r="B8">
        <v>0.27732532039706276</v>
      </c>
      <c r="C8">
        <v>0.23930454794396791</v>
      </c>
      <c r="D8">
        <v>0.21137227148836293</v>
      </c>
      <c r="E8">
        <v>0.25144088754125893</v>
      </c>
      <c r="F8">
        <v>0.54269145008927533</v>
      </c>
    </row>
    <row r="20" spans="1:6" x14ac:dyDescent="0.25">
      <c r="A20" s="2"/>
    </row>
    <row r="21" spans="1:6" x14ac:dyDescent="0.25">
      <c r="B21" t="s">
        <v>5</v>
      </c>
      <c r="C21" t="s">
        <v>1</v>
      </c>
      <c r="D21" t="s">
        <v>2</v>
      </c>
      <c r="E21" t="s">
        <v>3</v>
      </c>
      <c r="F21" t="s">
        <v>4</v>
      </c>
    </row>
    <row r="22" spans="1:6" x14ac:dyDescent="0.25">
      <c r="A22" t="s">
        <v>12</v>
      </c>
      <c r="B22">
        <v>13.296875</v>
      </c>
      <c r="C22">
        <v>8.1192307692307715</v>
      </c>
      <c r="D22">
        <v>5.3742857142857146</v>
      </c>
      <c r="E22">
        <v>5.4133333333333331</v>
      </c>
      <c r="F22">
        <v>13.09</v>
      </c>
    </row>
    <row r="23" spans="1:6" x14ac:dyDescent="0.25">
      <c r="B23">
        <v>13.142777777777779</v>
      </c>
      <c r="C23">
        <v>4.8885714285714279</v>
      </c>
      <c r="D23">
        <v>3.1775000000000002</v>
      </c>
      <c r="E23">
        <v>3.3099999999999996</v>
      </c>
      <c r="F23">
        <v>13.171666666666663</v>
      </c>
    </row>
    <row r="25" spans="1:6" x14ac:dyDescent="0.25">
      <c r="A25" t="s">
        <v>11</v>
      </c>
      <c r="B25">
        <v>1.0586766503517493</v>
      </c>
      <c r="C25">
        <v>0.62267516328689321</v>
      </c>
      <c r="D25">
        <v>1.1491425374724245</v>
      </c>
      <c r="E25">
        <v>0.62500133333191488</v>
      </c>
      <c r="F25">
        <v>1.0055247386315267</v>
      </c>
    </row>
    <row r="26" spans="1:6" x14ac:dyDescent="0.25">
      <c r="B26">
        <v>1.0432742888761639</v>
      </c>
      <c r="C26">
        <v>0.8207400841400968</v>
      </c>
      <c r="D26">
        <v>0.43768057497938156</v>
      </c>
      <c r="E26">
        <v>0.34547069340249403</v>
      </c>
      <c r="F26">
        <v>1.7370080890569695</v>
      </c>
    </row>
  </sheetData>
  <pageMargins left="0.7" right="0.7" top="0.75" bottom="0.75" header="0.3" footer="0.3"/>
  <pageSetup paperSize="9" orientation="portrait" horizontalDpi="4294967293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C6AF2-E291-476F-9D01-DBF16FF9DF53}">
  <dimension ref="A2:H22"/>
  <sheetViews>
    <sheetView topLeftCell="A13" workbookViewId="0">
      <selection activeCell="C22" sqref="C22"/>
    </sheetView>
  </sheetViews>
  <sheetFormatPr baseColWidth="10" defaultRowHeight="15" x14ac:dyDescent="0.25"/>
  <sheetData>
    <row r="2" spans="1:8" x14ac:dyDescent="0.25"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24</v>
      </c>
    </row>
    <row r="3" spans="1:8" x14ac:dyDescent="0.25">
      <c r="A3" t="s">
        <v>6</v>
      </c>
      <c r="B3">
        <v>3.2027586206896554</v>
      </c>
      <c r="C3">
        <v>3.7955555555555547</v>
      </c>
      <c r="D3">
        <v>5.7522222222222217</v>
      </c>
      <c r="E3">
        <v>7.8741176470588226</v>
      </c>
      <c r="F3">
        <v>3.6492857142857149</v>
      </c>
      <c r="G3">
        <v>8.2940000000000005</v>
      </c>
      <c r="H3">
        <v>13.129625000000001</v>
      </c>
    </row>
    <row r="4" spans="1:8" x14ac:dyDescent="0.25">
      <c r="A4" t="s">
        <v>7</v>
      </c>
      <c r="B4">
        <v>2.0572222222222223</v>
      </c>
      <c r="C4">
        <v>2.5027272727272729</v>
      </c>
      <c r="D4">
        <v>2.2022222222222219</v>
      </c>
      <c r="E4">
        <v>3.425384615384615</v>
      </c>
      <c r="F4">
        <v>2.3580000000000005</v>
      </c>
      <c r="G4">
        <v>3.2849999999999997</v>
      </c>
      <c r="H4">
        <v>7.1513333333333327</v>
      </c>
    </row>
    <row r="5" spans="1:8" x14ac:dyDescent="0.25"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8" x14ac:dyDescent="0.25">
      <c r="A6" t="s">
        <v>8</v>
      </c>
      <c r="B6">
        <v>0.33934869745077878</v>
      </c>
      <c r="C6">
        <v>0.52586312491350529</v>
      </c>
      <c r="D6">
        <v>0.53143150494155356</v>
      </c>
      <c r="E6">
        <v>1.5799567194369966</v>
      </c>
      <c r="F6">
        <v>0.59608290963995259</v>
      </c>
      <c r="G6">
        <v>1.6154039742429736</v>
      </c>
      <c r="H6">
        <v>1.2737131250795839</v>
      </c>
    </row>
    <row r="7" spans="1:8" x14ac:dyDescent="0.25">
      <c r="A7" t="s">
        <v>9</v>
      </c>
      <c r="B7">
        <v>0.20441611412121671</v>
      </c>
      <c r="C7">
        <v>0.5975799680225361</v>
      </c>
      <c r="D7">
        <v>0.43025509229345182</v>
      </c>
      <c r="E7">
        <v>0.50351457086853624</v>
      </c>
      <c r="F7">
        <v>0.26055435407716832</v>
      </c>
      <c r="G7">
        <v>0.37473800371536414</v>
      </c>
      <c r="H7">
        <v>1.1513322717617187</v>
      </c>
    </row>
    <row r="17" spans="2:8" x14ac:dyDescent="0.25">
      <c r="D17" t="s">
        <v>10</v>
      </c>
      <c r="G17" t="s">
        <v>11</v>
      </c>
    </row>
    <row r="18" spans="2:8" x14ac:dyDescent="0.25">
      <c r="D18" t="s">
        <v>22</v>
      </c>
      <c r="E18" t="s">
        <v>23</v>
      </c>
      <c r="G18" t="s">
        <v>22</v>
      </c>
      <c r="H18" t="s">
        <v>23</v>
      </c>
    </row>
    <row r="19" spans="2:8" x14ac:dyDescent="0.25">
      <c r="B19" t="s">
        <v>19</v>
      </c>
      <c r="C19" t="s">
        <v>5</v>
      </c>
      <c r="D19">
        <v>2.9797979797979792</v>
      </c>
      <c r="E19">
        <v>1.9020202020202022</v>
      </c>
      <c r="G19">
        <v>0.4103611361789789</v>
      </c>
      <c r="H19">
        <v>0.15470440255127285</v>
      </c>
    </row>
    <row r="20" spans="2:8" x14ac:dyDescent="0.25">
      <c r="C20" t="s">
        <v>4</v>
      </c>
      <c r="D20">
        <v>7.3859504132231404</v>
      </c>
      <c r="E20">
        <v>3.3429752066115705</v>
      </c>
      <c r="G20">
        <v>1.1200012074695547</v>
      </c>
      <c r="H20">
        <v>0.82932902191865021</v>
      </c>
    </row>
    <row r="21" spans="2:8" x14ac:dyDescent="0.25">
      <c r="C21" t="s">
        <v>20</v>
      </c>
      <c r="D21">
        <v>3.3397727272727273</v>
      </c>
      <c r="E21">
        <v>1.957912457912458</v>
      </c>
      <c r="G21">
        <v>0.48091729111264586</v>
      </c>
      <c r="H21">
        <v>0.28305782116332678</v>
      </c>
    </row>
    <row r="22" spans="2:8" x14ac:dyDescent="0.25">
      <c r="C22" t="s">
        <v>21</v>
      </c>
      <c r="D22">
        <v>7.7595454545454547</v>
      </c>
      <c r="E22">
        <v>4.1744318181818176</v>
      </c>
      <c r="G22">
        <v>0.53410419407278742</v>
      </c>
      <c r="H22">
        <v>0.59824554095515636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4AA1C-0377-4D84-8AF8-D3D58F244921}">
  <dimension ref="A3:P76"/>
  <sheetViews>
    <sheetView topLeftCell="H22" zoomScale="130" zoomScaleNormal="130" workbookViewId="0">
      <selection activeCell="I38" sqref="I38"/>
    </sheetView>
  </sheetViews>
  <sheetFormatPr baseColWidth="10" defaultRowHeight="15" x14ac:dyDescent="0.25"/>
  <sheetData>
    <row r="3" spans="1:16" x14ac:dyDescent="0.25">
      <c r="A3" t="s">
        <v>22</v>
      </c>
      <c r="E3" t="s">
        <v>23</v>
      </c>
      <c r="M3" s="1"/>
      <c r="N3" s="1"/>
      <c r="O3" s="1"/>
      <c r="P3" s="1"/>
    </row>
    <row r="4" spans="1:16" x14ac:dyDescent="0.25">
      <c r="A4" t="s">
        <v>0</v>
      </c>
      <c r="B4" t="s">
        <v>1</v>
      </c>
      <c r="C4" t="s">
        <v>25</v>
      </c>
      <c r="E4" t="s">
        <v>0</v>
      </c>
      <c r="F4" t="s">
        <v>1</v>
      </c>
      <c r="G4" t="s">
        <v>26</v>
      </c>
      <c r="L4" s="1"/>
      <c r="M4" s="1"/>
      <c r="N4" s="1"/>
      <c r="O4" s="1"/>
      <c r="P4" s="1"/>
    </row>
    <row r="5" spans="1:16" x14ac:dyDescent="0.25">
      <c r="A5" s="1">
        <v>13746</v>
      </c>
      <c r="B5" s="1">
        <v>7761</v>
      </c>
      <c r="C5" s="1">
        <v>4359</v>
      </c>
      <c r="E5" s="1">
        <v>12605</v>
      </c>
      <c r="F5" s="1">
        <v>5808</v>
      </c>
      <c r="G5" s="1">
        <v>2673</v>
      </c>
      <c r="K5" s="1"/>
      <c r="L5" s="1"/>
      <c r="M5" s="1"/>
      <c r="N5" s="1"/>
      <c r="O5" s="1"/>
      <c r="P5" s="1"/>
    </row>
    <row r="6" spans="1:16" x14ac:dyDescent="0.25">
      <c r="A6" s="1">
        <v>11900</v>
      </c>
      <c r="B6" s="1">
        <v>8072</v>
      </c>
      <c r="C6" s="1">
        <v>4681</v>
      </c>
      <c r="E6" s="1">
        <v>13277</v>
      </c>
      <c r="F6" s="1">
        <v>5387</v>
      </c>
      <c r="G6" s="1">
        <v>3940</v>
      </c>
      <c r="K6" s="1"/>
      <c r="L6" s="1"/>
      <c r="M6" s="1"/>
      <c r="N6" s="1"/>
      <c r="O6" s="1"/>
      <c r="P6" s="1"/>
    </row>
    <row r="7" spans="1:16" x14ac:dyDescent="0.25">
      <c r="A7" s="1">
        <v>11800</v>
      </c>
      <c r="B7" s="1">
        <v>7481</v>
      </c>
      <c r="C7" s="1">
        <v>4474</v>
      </c>
      <c r="E7" s="1">
        <v>14411</v>
      </c>
      <c r="F7" s="1">
        <v>5454</v>
      </c>
      <c r="G7" s="1">
        <v>3477</v>
      </c>
      <c r="K7" s="1"/>
      <c r="L7" s="1"/>
      <c r="M7" s="1"/>
      <c r="N7" s="1"/>
      <c r="O7" s="1"/>
      <c r="P7" s="1"/>
    </row>
    <row r="8" spans="1:16" x14ac:dyDescent="0.25">
      <c r="A8" s="1">
        <v>12804</v>
      </c>
      <c r="B8" s="1">
        <v>8247</v>
      </c>
      <c r="C8" s="1">
        <v>3785</v>
      </c>
      <c r="E8" s="1">
        <v>11366</v>
      </c>
      <c r="F8" s="1">
        <v>5450</v>
      </c>
      <c r="G8" s="1">
        <v>2776</v>
      </c>
      <c r="K8" s="1"/>
      <c r="L8" s="1"/>
      <c r="M8" s="1"/>
      <c r="N8" s="1"/>
      <c r="O8" s="1"/>
      <c r="P8" s="1"/>
    </row>
    <row r="9" spans="1:16" x14ac:dyDescent="0.25">
      <c r="A9" s="1">
        <v>10630</v>
      </c>
      <c r="B9" s="1">
        <v>8520</v>
      </c>
      <c r="C9" s="1">
        <v>4013</v>
      </c>
      <c r="E9" s="1">
        <v>13308</v>
      </c>
      <c r="F9" s="1">
        <v>5631</v>
      </c>
      <c r="G9" s="1">
        <v>3568</v>
      </c>
      <c r="K9" s="1"/>
      <c r="L9" s="1"/>
      <c r="M9" s="1"/>
      <c r="N9" s="1"/>
      <c r="O9" s="1"/>
      <c r="P9" s="1"/>
    </row>
    <row r="10" spans="1:16" x14ac:dyDescent="0.25">
      <c r="A10" s="1">
        <v>12457</v>
      </c>
      <c r="B10" s="1">
        <v>7038</v>
      </c>
      <c r="C10" s="1">
        <v>4696</v>
      </c>
      <c r="E10" s="1">
        <v>12979</v>
      </c>
      <c r="F10" s="1">
        <v>5953</v>
      </c>
      <c r="G10" s="1">
        <v>3976</v>
      </c>
      <c r="K10" s="1"/>
      <c r="L10" s="1"/>
      <c r="M10" s="1"/>
      <c r="N10" s="1"/>
      <c r="O10" s="1"/>
      <c r="P10" s="1"/>
    </row>
    <row r="11" spans="1:16" x14ac:dyDescent="0.25">
      <c r="A11" s="1">
        <v>13078</v>
      </c>
      <c r="B11" s="1">
        <v>8244</v>
      </c>
      <c r="C11" s="1">
        <v>4411</v>
      </c>
      <c r="E11" s="1">
        <v>14174</v>
      </c>
      <c r="F11" s="1">
        <v>5661</v>
      </c>
      <c r="G11" s="1">
        <v>2823</v>
      </c>
      <c r="K11" s="1"/>
      <c r="L11" s="1"/>
      <c r="M11" s="1"/>
      <c r="N11" s="1"/>
      <c r="O11" s="1"/>
      <c r="P11" s="1"/>
    </row>
    <row r="12" spans="1:16" x14ac:dyDescent="0.25">
      <c r="A12" s="1">
        <v>11998</v>
      </c>
      <c r="B12" s="1">
        <v>9041</v>
      </c>
      <c r="C12" s="1">
        <v>5385</v>
      </c>
      <c r="E12" s="1">
        <v>12610</v>
      </c>
      <c r="F12" s="1">
        <v>5844</v>
      </c>
      <c r="G12" s="1">
        <v>2089</v>
      </c>
      <c r="K12" s="1"/>
      <c r="L12" s="1"/>
      <c r="M12" s="1"/>
      <c r="N12" s="1"/>
      <c r="O12" s="1"/>
      <c r="P12" s="1"/>
    </row>
    <row r="13" spans="1:16" x14ac:dyDescent="0.25">
      <c r="A13" s="1">
        <v>12334</v>
      </c>
      <c r="B13" s="1">
        <v>7797</v>
      </c>
      <c r="C13" s="1">
        <v>4673</v>
      </c>
      <c r="E13" s="1">
        <v>14064</v>
      </c>
      <c r="F13" s="1">
        <v>5721</v>
      </c>
      <c r="G13" s="1">
        <v>2321</v>
      </c>
      <c r="K13" s="1"/>
      <c r="L13" s="1"/>
      <c r="M13" s="1"/>
      <c r="N13" s="1"/>
      <c r="O13" s="1"/>
      <c r="P13" s="1"/>
    </row>
    <row r="14" spans="1:16" x14ac:dyDescent="0.25">
      <c r="A14" s="1">
        <v>12717</v>
      </c>
      <c r="B14" s="1">
        <v>7731</v>
      </c>
      <c r="C14" s="1">
        <v>4904</v>
      </c>
      <c r="E14" s="1">
        <v>12646</v>
      </c>
      <c r="F14" s="1">
        <v>6555</v>
      </c>
      <c r="G14" s="1">
        <v>3063</v>
      </c>
      <c r="K14" s="1"/>
      <c r="L14" s="1"/>
      <c r="M14" s="1"/>
      <c r="N14" s="1"/>
      <c r="O14" s="1"/>
      <c r="P14" s="1"/>
    </row>
    <row r="15" spans="1:16" x14ac:dyDescent="0.25">
      <c r="A15" s="1">
        <v>12472</v>
      </c>
      <c r="B15" s="1">
        <v>8342</v>
      </c>
      <c r="C15" s="1">
        <v>4732</v>
      </c>
      <c r="E15" s="1">
        <v>13829</v>
      </c>
      <c r="F15" s="1">
        <v>5694</v>
      </c>
      <c r="G15" s="1">
        <v>3087</v>
      </c>
      <c r="K15" s="1"/>
      <c r="L15" s="1"/>
      <c r="M15" s="1"/>
      <c r="N15" s="1"/>
      <c r="O15" s="1"/>
      <c r="P15" s="1"/>
    </row>
    <row r="16" spans="1:16" x14ac:dyDescent="0.25">
      <c r="A16" s="1">
        <v>14715</v>
      </c>
      <c r="B16" s="1">
        <v>8176</v>
      </c>
      <c r="C16" s="1">
        <v>4740</v>
      </c>
      <c r="E16" s="1">
        <v>13204</v>
      </c>
      <c r="F16" s="1">
        <v>5805</v>
      </c>
      <c r="G16" s="1">
        <v>2329</v>
      </c>
      <c r="K16" s="1"/>
      <c r="L16" s="1"/>
      <c r="M16" s="1"/>
      <c r="N16" s="1"/>
      <c r="O16" s="1"/>
      <c r="P16" s="1"/>
    </row>
    <row r="17" spans="1:16" x14ac:dyDescent="0.25">
      <c r="A17" s="1">
        <v>14799</v>
      </c>
      <c r="B17" s="1">
        <v>8629</v>
      </c>
      <c r="C17" s="1">
        <v>4461</v>
      </c>
      <c r="E17" s="1">
        <v>12666</v>
      </c>
      <c r="F17" s="1">
        <v>5670</v>
      </c>
      <c r="G17" s="1">
        <v>3262</v>
      </c>
      <c r="K17" s="1"/>
      <c r="L17" s="1"/>
      <c r="M17" s="1"/>
      <c r="N17" s="1"/>
      <c r="O17" s="1"/>
      <c r="P17" s="1"/>
    </row>
    <row r="18" spans="1:16" x14ac:dyDescent="0.25">
      <c r="A18" s="1">
        <v>10834</v>
      </c>
      <c r="B18" s="1">
        <v>7902</v>
      </c>
      <c r="C18" s="1">
        <v>4342</v>
      </c>
      <c r="E18" s="1">
        <v>12869</v>
      </c>
      <c r="F18" s="1">
        <v>6043</v>
      </c>
      <c r="G18" s="1">
        <v>2590</v>
      </c>
      <c r="K18" s="1"/>
      <c r="L18" s="1"/>
      <c r="M18" s="1"/>
      <c r="N18" s="1"/>
      <c r="O18" s="1"/>
      <c r="P18" s="1"/>
    </row>
    <row r="19" spans="1:16" x14ac:dyDescent="0.25">
      <c r="A19" s="1">
        <v>12406</v>
      </c>
      <c r="B19" s="1">
        <v>7738</v>
      </c>
      <c r="C19" s="1">
        <v>4956</v>
      </c>
      <c r="E19" s="1">
        <v>13341</v>
      </c>
      <c r="F19" s="1">
        <v>5440</v>
      </c>
      <c r="G19" s="1">
        <v>3796</v>
      </c>
      <c r="K19" s="1"/>
      <c r="L19" s="1"/>
      <c r="M19" s="1"/>
      <c r="N19" s="1"/>
      <c r="O19" s="1"/>
      <c r="P19" s="1"/>
    </row>
    <row r="20" spans="1:16" x14ac:dyDescent="0.25">
      <c r="A20" s="1">
        <v>11073</v>
      </c>
      <c r="B20" s="1">
        <v>7305</v>
      </c>
      <c r="C20" s="1">
        <v>5240</v>
      </c>
      <c r="E20" s="1">
        <v>13555</v>
      </c>
      <c r="F20" s="1">
        <v>5433</v>
      </c>
      <c r="G20" s="1">
        <v>2866</v>
      </c>
      <c r="K20" s="1"/>
      <c r="L20" s="1"/>
      <c r="M20" s="1"/>
      <c r="N20" s="1"/>
      <c r="O20" s="1"/>
      <c r="P20" s="1"/>
    </row>
    <row r="21" spans="1:16" x14ac:dyDescent="0.25">
      <c r="A21" s="1">
        <v>13498</v>
      </c>
      <c r="B21" s="1">
        <v>7761</v>
      </c>
      <c r="C21" s="1">
        <v>4387</v>
      </c>
      <c r="E21" s="1">
        <v>13473</v>
      </c>
      <c r="F21" s="1">
        <v>5487</v>
      </c>
      <c r="G21" s="1">
        <v>3264</v>
      </c>
      <c r="K21" s="1"/>
      <c r="L21" s="1"/>
      <c r="M21" s="1"/>
      <c r="N21" s="1"/>
      <c r="O21" s="1"/>
      <c r="P21" s="1"/>
    </row>
    <row r="22" spans="1:16" x14ac:dyDescent="0.25">
      <c r="A22" s="1">
        <v>14182</v>
      </c>
      <c r="B22" s="1">
        <v>8650</v>
      </c>
      <c r="C22" s="1">
        <v>4999</v>
      </c>
      <c r="E22" s="1">
        <v>13274</v>
      </c>
      <c r="F22" s="1">
        <v>6255</v>
      </c>
      <c r="G22" s="1">
        <v>2239</v>
      </c>
      <c r="K22" s="1"/>
      <c r="L22" s="1"/>
      <c r="M22" s="1"/>
      <c r="N22" s="1"/>
      <c r="O22" s="1"/>
      <c r="P22" s="1"/>
    </row>
    <row r="23" spans="1:16" x14ac:dyDescent="0.25">
      <c r="A23" s="1">
        <v>12363</v>
      </c>
      <c r="B23" s="1">
        <v>8056</v>
      </c>
      <c r="C23" s="1">
        <v>4854</v>
      </c>
      <c r="E23" s="1">
        <v>13682</v>
      </c>
      <c r="F23" s="1">
        <v>5829</v>
      </c>
      <c r="G23" s="1">
        <v>1705</v>
      </c>
      <c r="K23" s="1"/>
      <c r="L23" s="1"/>
      <c r="M23" s="1"/>
      <c r="N23" s="1"/>
      <c r="O23" s="1"/>
      <c r="P23" s="1"/>
    </row>
    <row r="24" spans="1:16" x14ac:dyDescent="0.25">
      <c r="A24" s="1">
        <v>12570</v>
      </c>
      <c r="B24" s="1">
        <v>6390</v>
      </c>
      <c r="C24" s="1">
        <v>4453</v>
      </c>
      <c r="E24" s="1">
        <v>13079</v>
      </c>
      <c r="F24" s="1">
        <v>5531</v>
      </c>
      <c r="G24" s="1">
        <v>2777</v>
      </c>
      <c r="K24" s="1"/>
      <c r="L24" s="1"/>
      <c r="M24" s="1"/>
      <c r="N24" s="1"/>
      <c r="O24" s="1"/>
      <c r="P24" s="1"/>
    </row>
    <row r="25" spans="1:16" x14ac:dyDescent="0.25">
      <c r="A25" s="1">
        <v>14539</v>
      </c>
      <c r="B25" s="1">
        <v>6987</v>
      </c>
      <c r="C25" s="1">
        <v>4530</v>
      </c>
      <c r="E25" s="1">
        <v>13240</v>
      </c>
      <c r="F25" s="1">
        <v>4894</v>
      </c>
      <c r="G25" s="1">
        <v>3847</v>
      </c>
      <c r="K25" s="1"/>
      <c r="L25" s="1"/>
      <c r="M25" s="1"/>
      <c r="N25" s="1"/>
      <c r="O25" s="1"/>
      <c r="P25" s="1"/>
    </row>
    <row r="26" spans="1:16" x14ac:dyDescent="0.25">
      <c r="A26" s="1">
        <v>14082</v>
      </c>
      <c r="B26" s="1">
        <v>8019</v>
      </c>
      <c r="C26" s="1">
        <v>5187</v>
      </c>
      <c r="E26" s="1">
        <v>14416</v>
      </c>
      <c r="F26" s="1">
        <v>4583</v>
      </c>
      <c r="G26" s="1">
        <v>2518</v>
      </c>
      <c r="K26" s="1"/>
      <c r="L26" s="1"/>
      <c r="M26" s="1"/>
      <c r="N26" s="1"/>
      <c r="O26" s="1"/>
      <c r="P26" s="1"/>
    </row>
    <row r="27" spans="1:16" x14ac:dyDescent="0.25">
      <c r="A27" s="1">
        <v>11155</v>
      </c>
      <c r="B27" s="1">
        <v>7498</v>
      </c>
      <c r="C27" s="1">
        <v>4283</v>
      </c>
      <c r="E27" s="1">
        <v>12335</v>
      </c>
      <c r="F27" s="1">
        <v>5539</v>
      </c>
      <c r="G27" s="1">
        <v>3433</v>
      </c>
      <c r="K27" s="1"/>
      <c r="L27" s="1"/>
      <c r="M27" s="1"/>
      <c r="N27" s="1"/>
      <c r="O27" s="1"/>
      <c r="P27" s="1"/>
    </row>
    <row r="28" spans="1:16" x14ac:dyDescent="0.25">
      <c r="A28" s="1">
        <v>11946</v>
      </c>
      <c r="B28" s="1">
        <v>8003</v>
      </c>
      <c r="C28" s="1">
        <v>4369</v>
      </c>
      <c r="E28" s="1">
        <v>13920</v>
      </c>
      <c r="F28" s="1">
        <v>5746</v>
      </c>
      <c r="G28" s="1">
        <v>3093</v>
      </c>
      <c r="K28" s="1"/>
      <c r="L28" s="1"/>
      <c r="M28" s="1"/>
      <c r="N28" s="1"/>
      <c r="O28" s="1"/>
      <c r="P28" s="1"/>
    </row>
    <row r="29" spans="1:16" x14ac:dyDescent="0.25">
      <c r="A29" s="1">
        <v>12666</v>
      </c>
      <c r="B29" s="1">
        <v>7851</v>
      </c>
      <c r="C29" s="1">
        <v>4834</v>
      </c>
      <c r="E29" s="1">
        <v>10535</v>
      </c>
      <c r="F29" s="1">
        <v>4694</v>
      </c>
      <c r="G29" s="1">
        <v>3309</v>
      </c>
      <c r="K29" s="1"/>
      <c r="L29" s="1"/>
      <c r="M29" s="1"/>
      <c r="N29" s="1"/>
      <c r="O29" s="1"/>
      <c r="P29" s="1"/>
    </row>
    <row r="30" spans="1:16" x14ac:dyDescent="0.25">
      <c r="A30" s="1">
        <v>13411</v>
      </c>
      <c r="B30" s="1">
        <v>7476</v>
      </c>
      <c r="C30" s="1">
        <v>4700</v>
      </c>
      <c r="E30" s="1">
        <v>13200</v>
      </c>
      <c r="F30" s="1">
        <v>5045</v>
      </c>
      <c r="G30" s="1">
        <v>3208</v>
      </c>
      <c r="K30" s="1"/>
      <c r="L30" s="1"/>
      <c r="M30" s="1"/>
      <c r="N30" s="1"/>
      <c r="O30" s="1"/>
      <c r="P30" s="1"/>
    </row>
    <row r="31" spans="1:16" x14ac:dyDescent="0.25">
      <c r="A31" s="1">
        <v>13493</v>
      </c>
      <c r="B31" s="1">
        <v>7902</v>
      </c>
      <c r="C31" s="1">
        <v>3694</v>
      </c>
      <c r="E31" s="1">
        <v>13134</v>
      </c>
      <c r="F31" s="1">
        <v>5290</v>
      </c>
      <c r="G31" s="1">
        <v>2314</v>
      </c>
      <c r="K31" s="1"/>
      <c r="L31" s="1"/>
      <c r="M31" s="1"/>
      <c r="N31" s="1"/>
      <c r="O31" s="1"/>
      <c r="P31" s="1"/>
    </row>
    <row r="32" spans="1:16" x14ac:dyDescent="0.25">
      <c r="A32" s="1">
        <v>11645</v>
      </c>
      <c r="B32" s="1">
        <v>7736</v>
      </c>
      <c r="C32" s="1">
        <v>3998</v>
      </c>
      <c r="E32" s="1">
        <v>12252</v>
      </c>
      <c r="F32" s="1">
        <v>4557</v>
      </c>
      <c r="G32" s="1">
        <v>2172</v>
      </c>
      <c r="K32" s="1"/>
      <c r="L32" s="1"/>
      <c r="M32" s="1"/>
      <c r="N32" s="1"/>
      <c r="O32" s="1"/>
      <c r="P32" s="1"/>
    </row>
    <row r="33" spans="1:16" x14ac:dyDescent="0.25">
      <c r="A33" s="1">
        <v>12245</v>
      </c>
      <c r="B33" s="1">
        <v>8672</v>
      </c>
      <c r="C33" s="1">
        <v>3959</v>
      </c>
      <c r="E33" s="1">
        <v>11057</v>
      </c>
      <c r="F33" s="1">
        <v>4667</v>
      </c>
      <c r="G33" s="1">
        <v>2425</v>
      </c>
      <c r="K33" s="1"/>
      <c r="L33" s="1"/>
      <c r="M33" s="1"/>
      <c r="N33" s="1"/>
      <c r="O33" s="1"/>
      <c r="P33" s="1"/>
    </row>
    <row r="34" spans="1:16" x14ac:dyDescent="0.25">
      <c r="A34" s="1">
        <v>13762</v>
      </c>
      <c r="B34" s="1">
        <v>8450</v>
      </c>
      <c r="C34" s="1">
        <v>4685</v>
      </c>
      <c r="E34" s="1">
        <v>12336</v>
      </c>
      <c r="F34" s="1">
        <v>5237</v>
      </c>
      <c r="G34" s="1">
        <v>2551</v>
      </c>
      <c r="K34" s="1"/>
      <c r="L34" s="1"/>
      <c r="M34" s="1"/>
      <c r="N34" s="1"/>
      <c r="O34" s="1"/>
      <c r="P34" s="1"/>
    </row>
    <row r="35" spans="1:16" x14ac:dyDescent="0.25">
      <c r="A35" s="1">
        <v>12236</v>
      </c>
      <c r="B35" s="1">
        <v>8917</v>
      </c>
      <c r="C35" s="1">
        <v>5664</v>
      </c>
      <c r="E35" s="1">
        <v>13376</v>
      </c>
      <c r="F35" s="1">
        <v>4016</v>
      </c>
      <c r="G35" s="1">
        <v>3219</v>
      </c>
      <c r="K35" s="1"/>
      <c r="L35" s="1"/>
      <c r="M35" s="1"/>
      <c r="N35" s="1"/>
      <c r="O35" s="1"/>
      <c r="P35" s="1"/>
    </row>
    <row r="36" spans="1:16" x14ac:dyDescent="0.25">
      <c r="A36" s="1">
        <v>13343</v>
      </c>
      <c r="B36" s="1">
        <v>8028</v>
      </c>
      <c r="C36" s="1">
        <v>4763</v>
      </c>
      <c r="E36" s="1">
        <v>11888</v>
      </c>
      <c r="F36" s="1">
        <v>4694</v>
      </c>
      <c r="G36" s="1">
        <v>2788</v>
      </c>
      <c r="K36" s="1"/>
      <c r="L36" s="1"/>
      <c r="M36" s="1"/>
      <c r="N36" s="1"/>
      <c r="O36" s="1"/>
      <c r="P36" s="1"/>
    </row>
    <row r="37" spans="1:16" x14ac:dyDescent="0.25">
      <c r="A37" s="1">
        <v>12249</v>
      </c>
      <c r="B37" s="1">
        <v>8717</v>
      </c>
      <c r="C37" s="1">
        <v>4644</v>
      </c>
      <c r="E37" s="1">
        <v>11838</v>
      </c>
      <c r="F37" s="1">
        <v>4675</v>
      </c>
      <c r="G37" s="1">
        <v>3413</v>
      </c>
      <c r="K37" s="1"/>
      <c r="L37" s="1"/>
      <c r="M37" s="1"/>
      <c r="N37" s="1"/>
      <c r="O37" s="1"/>
      <c r="P37" s="1"/>
    </row>
    <row r="38" spans="1:16" x14ac:dyDescent="0.25">
      <c r="A38" s="1">
        <v>12615</v>
      </c>
      <c r="B38" s="1">
        <v>7570</v>
      </c>
      <c r="C38" s="1">
        <v>4942</v>
      </c>
      <c r="E38" s="1">
        <v>12795</v>
      </c>
      <c r="F38" s="1">
        <v>5286</v>
      </c>
      <c r="G38" s="1">
        <v>3587</v>
      </c>
      <c r="K38" s="1"/>
      <c r="L38" s="1"/>
      <c r="M38" s="1"/>
      <c r="N38" s="1"/>
      <c r="O38" s="1"/>
      <c r="P38" s="1"/>
    </row>
    <row r="39" spans="1:16" x14ac:dyDescent="0.25">
      <c r="A39" s="1">
        <v>12526</v>
      </c>
      <c r="B39" s="1">
        <v>7023</v>
      </c>
      <c r="C39" s="1">
        <v>4729</v>
      </c>
      <c r="E39" s="1">
        <v>11977</v>
      </c>
      <c r="F39" s="1">
        <v>4454</v>
      </c>
      <c r="G39" s="1">
        <v>3585</v>
      </c>
      <c r="K39" s="1"/>
      <c r="L39" s="1"/>
      <c r="M39" s="1"/>
      <c r="N39" s="1"/>
      <c r="O39" s="1"/>
      <c r="P39" s="1"/>
    </row>
    <row r="40" spans="1:16" x14ac:dyDescent="0.25">
      <c r="A40" s="1">
        <v>13967</v>
      </c>
      <c r="B40" s="1">
        <v>7608</v>
      </c>
      <c r="C40" s="1">
        <v>5213</v>
      </c>
      <c r="E40" s="1">
        <v>13349</v>
      </c>
      <c r="F40" s="1">
        <v>4371</v>
      </c>
      <c r="G40" s="1">
        <v>2147</v>
      </c>
      <c r="K40" s="1"/>
      <c r="L40" s="1"/>
      <c r="M40" s="1"/>
      <c r="N40" s="1"/>
      <c r="O40" s="1"/>
      <c r="P40" s="1"/>
    </row>
    <row r="41" spans="1:16" x14ac:dyDescent="0.25">
      <c r="A41" s="1">
        <v>12214</v>
      </c>
      <c r="B41" s="1">
        <v>8014</v>
      </c>
      <c r="C41" s="1">
        <v>4916</v>
      </c>
      <c r="E41" s="1">
        <v>14208</v>
      </c>
      <c r="F41" s="1">
        <v>6436</v>
      </c>
      <c r="G41" s="1">
        <v>3093</v>
      </c>
      <c r="K41" s="1"/>
      <c r="L41" s="1"/>
      <c r="M41" s="1"/>
      <c r="N41" s="1"/>
      <c r="O41" s="1"/>
      <c r="P41" s="1"/>
    </row>
    <row r="42" spans="1:16" x14ac:dyDescent="0.25">
      <c r="A42" s="1">
        <v>12878</v>
      </c>
      <c r="B42" s="1">
        <v>7414</v>
      </c>
      <c r="C42" s="1">
        <v>5046</v>
      </c>
      <c r="E42" s="1">
        <v>13016</v>
      </c>
      <c r="F42" s="1">
        <v>5251</v>
      </c>
      <c r="G42" s="1">
        <v>2500</v>
      </c>
      <c r="K42" s="1"/>
      <c r="L42" s="1"/>
      <c r="M42" s="1"/>
      <c r="N42" s="1"/>
      <c r="O42" s="1"/>
      <c r="P42" s="1"/>
    </row>
    <row r="43" spans="1:16" x14ac:dyDescent="0.25">
      <c r="A43" s="1">
        <v>10123</v>
      </c>
      <c r="B43" s="1">
        <v>8282</v>
      </c>
      <c r="C43" s="1">
        <v>5060</v>
      </c>
      <c r="E43" s="1">
        <v>13335</v>
      </c>
      <c r="F43" s="1">
        <v>3912</v>
      </c>
      <c r="G43" s="1">
        <v>1855</v>
      </c>
      <c r="K43" s="1"/>
      <c r="L43" s="1"/>
      <c r="M43" s="1"/>
      <c r="N43" s="1"/>
      <c r="O43" s="1"/>
      <c r="P43" s="1"/>
    </row>
    <row r="44" spans="1:16" x14ac:dyDescent="0.25">
      <c r="A44" s="1">
        <v>11906</v>
      </c>
      <c r="B44" s="1">
        <v>8038</v>
      </c>
      <c r="C44" s="1">
        <v>4659</v>
      </c>
      <c r="E44" s="1">
        <v>13682</v>
      </c>
      <c r="F44" s="1">
        <v>5284</v>
      </c>
      <c r="K44" s="1"/>
      <c r="L44" s="1"/>
      <c r="M44" s="1"/>
      <c r="N44" s="1"/>
      <c r="O44" s="1"/>
      <c r="P44" s="1"/>
    </row>
    <row r="45" spans="1:16" x14ac:dyDescent="0.25">
      <c r="A45" s="1">
        <v>13041</v>
      </c>
      <c r="B45" s="1">
        <v>8312</v>
      </c>
      <c r="C45" s="1">
        <v>4961</v>
      </c>
      <c r="E45" s="1">
        <v>13641</v>
      </c>
      <c r="F45" s="1">
        <v>5132</v>
      </c>
      <c r="K45" s="1"/>
      <c r="L45" s="1"/>
      <c r="M45" s="1"/>
      <c r="N45" s="1"/>
      <c r="O45" s="1"/>
      <c r="P45" s="1"/>
    </row>
    <row r="46" spans="1:16" x14ac:dyDescent="0.25">
      <c r="A46" s="1">
        <v>13149</v>
      </c>
      <c r="B46" s="1">
        <v>7836</v>
      </c>
      <c r="C46" s="1">
        <v>4182</v>
      </c>
      <c r="E46" s="1">
        <v>13325</v>
      </c>
      <c r="F46" s="1">
        <v>4494</v>
      </c>
      <c r="K46" s="1"/>
      <c r="L46" s="1"/>
      <c r="M46" s="1"/>
      <c r="N46" s="1"/>
      <c r="O46" s="1"/>
      <c r="P46" s="1"/>
    </row>
    <row r="47" spans="1:16" x14ac:dyDescent="0.25">
      <c r="A47" s="1">
        <v>14013</v>
      </c>
      <c r="B47" s="1">
        <v>6857</v>
      </c>
      <c r="C47" s="1">
        <v>4924</v>
      </c>
      <c r="E47" s="1">
        <v>14464</v>
      </c>
      <c r="F47" s="1">
        <v>5402</v>
      </c>
      <c r="K47" s="1"/>
      <c r="L47" s="1"/>
      <c r="M47" s="1"/>
      <c r="N47" s="1"/>
      <c r="O47" s="1"/>
      <c r="P47" s="1"/>
    </row>
    <row r="48" spans="1:16" x14ac:dyDescent="0.25">
      <c r="A48" s="1">
        <v>12090</v>
      </c>
      <c r="B48" s="1">
        <v>7680</v>
      </c>
      <c r="C48" s="1">
        <v>5446</v>
      </c>
      <c r="E48" s="1">
        <v>12133</v>
      </c>
      <c r="F48" s="1">
        <v>5675</v>
      </c>
      <c r="K48" s="1"/>
      <c r="L48" s="1"/>
      <c r="M48" s="1"/>
      <c r="N48" s="1"/>
      <c r="O48" s="1"/>
      <c r="P48" s="1"/>
    </row>
    <row r="49" spans="1:16" x14ac:dyDescent="0.25">
      <c r="A49" s="1">
        <v>13282</v>
      </c>
      <c r="B49" s="1">
        <v>8099</v>
      </c>
      <c r="C49" s="1">
        <v>4633</v>
      </c>
      <c r="E49" s="1">
        <v>13898</v>
      </c>
      <c r="F49" s="1">
        <v>5148</v>
      </c>
      <c r="K49" s="1"/>
      <c r="L49" s="1"/>
      <c r="M49" s="1"/>
      <c r="N49" s="1"/>
      <c r="O49" s="1"/>
      <c r="P49" s="1"/>
    </row>
    <row r="50" spans="1:16" x14ac:dyDescent="0.25">
      <c r="A50" s="1">
        <v>11174</v>
      </c>
      <c r="B50" s="1">
        <v>7028</v>
      </c>
      <c r="C50" s="1">
        <v>4979</v>
      </c>
      <c r="E50" s="1">
        <v>13963</v>
      </c>
      <c r="F50" s="1">
        <v>6159</v>
      </c>
      <c r="K50" s="1"/>
      <c r="L50" s="1"/>
      <c r="M50" s="1"/>
      <c r="N50" s="1"/>
      <c r="O50" s="1"/>
      <c r="P50" s="1"/>
    </row>
    <row r="51" spans="1:16" x14ac:dyDescent="0.25">
      <c r="A51" s="1">
        <v>12897</v>
      </c>
      <c r="B51" s="1">
        <v>6849</v>
      </c>
      <c r="C51" s="1">
        <v>5709</v>
      </c>
      <c r="E51" s="1">
        <v>12077</v>
      </c>
      <c r="F51" s="1">
        <v>5316</v>
      </c>
      <c r="K51" s="1"/>
      <c r="L51" s="1"/>
      <c r="M51" s="1"/>
      <c r="N51" s="1"/>
      <c r="O51" s="1"/>
      <c r="P51" s="1"/>
    </row>
    <row r="52" spans="1:16" x14ac:dyDescent="0.25">
      <c r="A52" s="1">
        <v>11745</v>
      </c>
      <c r="B52" s="1">
        <v>8241</v>
      </c>
      <c r="C52" s="1">
        <v>5166</v>
      </c>
      <c r="E52" s="1">
        <v>13562</v>
      </c>
      <c r="F52" s="1">
        <v>5210</v>
      </c>
      <c r="K52" s="1"/>
      <c r="L52" s="1"/>
      <c r="M52" s="1"/>
      <c r="N52" s="1"/>
      <c r="O52" s="1"/>
      <c r="P52" s="1"/>
    </row>
    <row r="53" spans="1:16" x14ac:dyDescent="0.25">
      <c r="A53" s="1">
        <v>11808</v>
      </c>
      <c r="B53" s="1">
        <v>8327</v>
      </c>
      <c r="C53" s="1">
        <v>3719</v>
      </c>
      <c r="E53" s="1">
        <v>13783</v>
      </c>
      <c r="F53" s="1">
        <v>5202</v>
      </c>
      <c r="K53" s="1"/>
      <c r="L53" s="1"/>
      <c r="M53" s="1"/>
      <c r="N53" s="1"/>
      <c r="O53" s="1"/>
      <c r="P53" s="1"/>
    </row>
    <row r="54" spans="1:16" x14ac:dyDescent="0.25">
      <c r="A54" s="1">
        <v>11620</v>
      </c>
      <c r="B54" s="1">
        <v>8346</v>
      </c>
      <c r="C54" s="1">
        <v>5520</v>
      </c>
      <c r="E54" s="1">
        <v>13654</v>
      </c>
      <c r="F54" s="1">
        <v>5559</v>
      </c>
      <c r="K54" s="1"/>
      <c r="L54" s="1"/>
      <c r="M54" s="1"/>
      <c r="N54" s="1"/>
      <c r="O54" s="1"/>
      <c r="P54" s="1"/>
    </row>
    <row r="55" spans="1:16" x14ac:dyDescent="0.25">
      <c r="A55" s="1">
        <v>11079</v>
      </c>
      <c r="B55" s="1">
        <v>8051</v>
      </c>
      <c r="C55" s="1">
        <v>5093</v>
      </c>
      <c r="E55" s="1">
        <v>13565</v>
      </c>
      <c r="F55" s="1">
        <v>5757</v>
      </c>
      <c r="K55" s="1"/>
      <c r="L55" s="1"/>
      <c r="M55" s="1"/>
      <c r="N55" s="1"/>
      <c r="O55" s="1"/>
      <c r="P55" s="1"/>
    </row>
    <row r="56" spans="1:16" x14ac:dyDescent="0.25">
      <c r="A56" s="1">
        <v>12313</v>
      </c>
      <c r="B56" s="1">
        <v>6355</v>
      </c>
      <c r="C56" s="1">
        <v>4984</v>
      </c>
      <c r="E56" s="1">
        <v>12450</v>
      </c>
      <c r="F56" s="1">
        <v>4786</v>
      </c>
      <c r="K56" s="1"/>
      <c r="L56" s="1"/>
      <c r="M56" s="1"/>
      <c r="N56" s="1"/>
      <c r="O56" s="1"/>
      <c r="P56" s="1"/>
    </row>
    <row r="57" spans="1:16" x14ac:dyDescent="0.25">
      <c r="A57" s="1">
        <v>11340</v>
      </c>
      <c r="B57" s="1">
        <v>7747</v>
      </c>
      <c r="C57" s="1">
        <v>5331</v>
      </c>
      <c r="E57" s="1">
        <v>14906</v>
      </c>
      <c r="F57" s="1">
        <v>5543</v>
      </c>
      <c r="K57" s="1"/>
      <c r="L57" s="1"/>
      <c r="M57" s="1"/>
      <c r="N57" s="1"/>
      <c r="O57" s="1"/>
      <c r="P57" s="1"/>
    </row>
    <row r="58" spans="1:16" x14ac:dyDescent="0.25">
      <c r="A58" s="1">
        <v>12362</v>
      </c>
      <c r="B58" s="1">
        <v>7012</v>
      </c>
      <c r="C58" s="1">
        <v>5285</v>
      </c>
      <c r="E58" s="1">
        <v>14814</v>
      </c>
      <c r="F58" s="1">
        <v>4962</v>
      </c>
      <c r="K58" s="1"/>
      <c r="L58" s="1"/>
      <c r="M58" s="1"/>
      <c r="N58" s="1"/>
      <c r="O58" s="1"/>
      <c r="P58" s="1"/>
    </row>
    <row r="59" spans="1:16" x14ac:dyDescent="0.25">
      <c r="A59" s="1">
        <v>12067</v>
      </c>
      <c r="B59" s="1">
        <v>7210</v>
      </c>
      <c r="C59" s="1">
        <v>5420</v>
      </c>
      <c r="E59" s="1">
        <v>13588</v>
      </c>
      <c r="K59" s="1"/>
      <c r="L59" s="1"/>
      <c r="M59" s="1"/>
      <c r="N59" s="1"/>
      <c r="O59" s="1"/>
      <c r="P59" s="1"/>
    </row>
    <row r="60" spans="1:16" x14ac:dyDescent="0.25">
      <c r="A60" s="1">
        <v>12031</v>
      </c>
      <c r="B60" s="1">
        <v>7582</v>
      </c>
      <c r="C60" s="1">
        <v>4792</v>
      </c>
      <c r="E60" s="1">
        <v>12314</v>
      </c>
      <c r="K60" s="1"/>
      <c r="L60" s="1"/>
      <c r="M60" s="1"/>
      <c r="N60" s="1"/>
      <c r="O60" s="1"/>
      <c r="P60" s="1"/>
    </row>
    <row r="61" spans="1:16" x14ac:dyDescent="0.25">
      <c r="A61" s="1">
        <v>12419</v>
      </c>
      <c r="B61" s="1">
        <v>8131</v>
      </c>
      <c r="C61" s="1">
        <v>5275</v>
      </c>
      <c r="E61" s="1">
        <v>12933</v>
      </c>
      <c r="K61" s="1"/>
      <c r="L61" s="1"/>
      <c r="M61" s="1"/>
      <c r="N61" s="1"/>
      <c r="O61" s="1"/>
      <c r="P61" s="1"/>
    </row>
    <row r="62" spans="1:16" x14ac:dyDescent="0.25">
      <c r="A62" s="1">
        <v>14994</v>
      </c>
      <c r="B62" s="1">
        <v>7314</v>
      </c>
      <c r="C62" s="1">
        <v>4635</v>
      </c>
      <c r="E62" s="1">
        <v>12749</v>
      </c>
      <c r="K62" s="1"/>
      <c r="L62" s="1"/>
      <c r="M62" s="1"/>
      <c r="N62" s="1"/>
      <c r="O62" s="1"/>
      <c r="P62" s="1"/>
    </row>
    <row r="63" spans="1:16" x14ac:dyDescent="0.25">
      <c r="A63" s="1">
        <v>14920</v>
      </c>
      <c r="B63" s="1">
        <v>8056</v>
      </c>
      <c r="C63" s="1">
        <v>5018</v>
      </c>
      <c r="E63" s="1">
        <v>13866</v>
      </c>
      <c r="K63" s="1"/>
      <c r="L63" s="1"/>
      <c r="M63" s="1"/>
      <c r="N63" s="1"/>
      <c r="O63" s="1"/>
      <c r="P63" s="1"/>
    </row>
    <row r="64" spans="1:16" x14ac:dyDescent="0.25">
      <c r="A64" s="1">
        <v>12803</v>
      </c>
      <c r="B64" s="1">
        <v>6786</v>
      </c>
      <c r="C64" s="1">
        <v>5127</v>
      </c>
      <c r="E64" s="1">
        <v>12113</v>
      </c>
      <c r="K64" s="1"/>
      <c r="L64" s="1"/>
      <c r="M64" s="1"/>
      <c r="N64" s="1"/>
      <c r="O64" s="1"/>
      <c r="P64" s="1"/>
    </row>
    <row r="65" spans="1:16" x14ac:dyDescent="0.25">
      <c r="A65" s="1">
        <v>12636</v>
      </c>
      <c r="B65" s="1">
        <v>7034</v>
      </c>
      <c r="C65" s="1">
        <v>5038</v>
      </c>
      <c r="E65" s="1">
        <v>12799</v>
      </c>
      <c r="K65" s="1"/>
      <c r="L65" s="1"/>
      <c r="M65" s="1"/>
      <c r="N65" s="1"/>
      <c r="O65" s="1"/>
      <c r="P65" s="1"/>
    </row>
    <row r="66" spans="1:16" x14ac:dyDescent="0.25">
      <c r="A66" s="1">
        <v>12830</v>
      </c>
      <c r="B66" s="1">
        <v>5667</v>
      </c>
      <c r="E66" s="1">
        <v>13986</v>
      </c>
      <c r="K66" s="1"/>
      <c r="L66" s="1"/>
      <c r="M66" s="1"/>
      <c r="N66" s="1"/>
      <c r="O66" s="1"/>
      <c r="P66" s="1"/>
    </row>
    <row r="67" spans="1:16" x14ac:dyDescent="0.25">
      <c r="A67" s="1">
        <v>15279</v>
      </c>
      <c r="B67" s="1">
        <v>7884</v>
      </c>
      <c r="E67" s="1">
        <v>13267</v>
      </c>
      <c r="K67" s="1"/>
      <c r="L67" s="1"/>
      <c r="M67" s="1"/>
      <c r="N67" s="1"/>
    </row>
    <row r="68" spans="1:16" x14ac:dyDescent="0.25">
      <c r="A68" s="1">
        <v>14467</v>
      </c>
      <c r="E68" s="1">
        <v>13115</v>
      </c>
      <c r="K68" s="1"/>
      <c r="L68" s="1"/>
      <c r="M68" s="1"/>
      <c r="N68" s="1"/>
    </row>
    <row r="69" spans="1:16" x14ac:dyDescent="0.25">
      <c r="A69" s="1">
        <v>12374</v>
      </c>
      <c r="K69" s="1"/>
      <c r="L69" s="1"/>
      <c r="M69" s="1"/>
      <c r="N69" s="1"/>
    </row>
    <row r="70" spans="1:16" x14ac:dyDescent="0.25">
      <c r="K70" s="1"/>
      <c r="L70" s="1"/>
      <c r="M70" s="1"/>
      <c r="N70" s="1"/>
    </row>
    <row r="72" spans="1:16" x14ac:dyDescent="0.25">
      <c r="A72" s="1">
        <f>AVERAGE(A5:A71)</f>
        <v>12678.615384615385</v>
      </c>
      <c r="B72" s="1">
        <f t="shared" ref="B72:G72" si="0">AVERAGE(B5:B71)</f>
        <v>7769.6825396825398</v>
      </c>
      <c r="C72" s="1">
        <f t="shared" si="0"/>
        <v>4781.2622950819668</v>
      </c>
      <c r="D72" s="1"/>
      <c r="E72" s="1">
        <f t="shared" si="0"/>
        <v>13144.78125</v>
      </c>
      <c r="F72" s="1">
        <f t="shared" si="0"/>
        <v>5326.4259259259261</v>
      </c>
      <c r="G72" s="1">
        <f t="shared" si="0"/>
        <v>2914.8205128205127</v>
      </c>
    </row>
    <row r="73" spans="1:16" x14ac:dyDescent="0.25">
      <c r="A73">
        <f>STDEV(A5:A71)</f>
        <v>1124.6260863658708</v>
      </c>
      <c r="B73">
        <f t="shared" ref="B73:G73" si="1">STDEV(B5:B71)</f>
        <v>648.37543448611541</v>
      </c>
      <c r="C73">
        <f t="shared" si="1"/>
        <v>461.78923408987288</v>
      </c>
      <c r="E73">
        <f t="shared" si="1"/>
        <v>865.02036802792952</v>
      </c>
      <c r="F73">
        <f t="shared" si="1"/>
        <v>570.59679455520291</v>
      </c>
      <c r="G73">
        <f t="shared" si="1"/>
        <v>596.67935812315204</v>
      </c>
    </row>
    <row r="75" spans="1:16" x14ac:dyDescent="0.25">
      <c r="A75">
        <f>A72/1000</f>
        <v>12.678615384615386</v>
      </c>
      <c r="B75">
        <f t="shared" ref="B75:G76" si="2">B72/1000</f>
        <v>7.76968253968254</v>
      </c>
      <c r="C75">
        <f t="shared" si="2"/>
        <v>4.7812622950819668</v>
      </c>
      <c r="E75">
        <f t="shared" si="2"/>
        <v>13.144781249999999</v>
      </c>
      <c r="F75">
        <f t="shared" si="2"/>
        <v>5.3264259259259257</v>
      </c>
      <c r="G75">
        <f t="shared" si="2"/>
        <v>2.9148205128205129</v>
      </c>
    </row>
    <row r="76" spans="1:16" x14ac:dyDescent="0.25">
      <c r="A76">
        <f>A73/1000</f>
        <v>1.1246260863658708</v>
      </c>
      <c r="B76">
        <f t="shared" si="2"/>
        <v>0.64837543448611545</v>
      </c>
      <c r="C76">
        <f t="shared" si="2"/>
        <v>0.46178923408987288</v>
      </c>
      <c r="E76">
        <f t="shared" si="2"/>
        <v>0.86502036802792948</v>
      </c>
      <c r="F76">
        <f t="shared" si="2"/>
        <v>0.57059679455520296</v>
      </c>
      <c r="G76">
        <f t="shared" si="2"/>
        <v>0.59667935812315209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Fig2B</vt:lpstr>
      <vt:lpstr>Fig3B</vt:lpstr>
      <vt:lpstr>Fig7D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Sandra</dc:creator>
  <cp:lastModifiedBy>Luis García Aguirre</cp:lastModifiedBy>
  <dcterms:created xsi:type="dcterms:W3CDTF">2025-10-09T20:45:26Z</dcterms:created>
  <dcterms:modified xsi:type="dcterms:W3CDTF">2025-10-16T10:56:32Z</dcterms:modified>
</cp:coreProperties>
</file>